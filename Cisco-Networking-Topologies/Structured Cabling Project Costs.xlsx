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6A5306E4-2602-4208-A5C8-FF120171C0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J29" i="1"/>
  <c r="I29" i="1"/>
  <c r="I27" i="1"/>
  <c r="H29" i="1"/>
  <c r="H27" i="1"/>
  <c r="F29" i="1"/>
  <c r="F27" i="1"/>
  <c r="E27" i="1"/>
  <c r="E29" i="1"/>
  <c r="D27" i="1"/>
  <c r="I16" i="1"/>
  <c r="I14" i="1"/>
  <c r="H14" i="1"/>
  <c r="E14" i="1"/>
  <c r="D14" i="1"/>
  <c r="H16" i="1"/>
  <c r="E16" i="1"/>
  <c r="F14" i="1" l="1"/>
  <c r="F16" i="1" s="1"/>
  <c r="D16" i="1"/>
  <c r="J16" i="1" s="1"/>
  <c r="J31" i="1" s="1"/>
</calcChain>
</file>

<file path=xl/sharedStrings.xml><?xml version="1.0" encoding="utf-8"?>
<sst xmlns="http://schemas.openxmlformats.org/spreadsheetml/2006/main" count="44" uniqueCount="41">
  <si>
    <t>Column1</t>
  </si>
  <si>
    <t>Area</t>
  </si>
  <si>
    <t>Outlets</t>
  </si>
  <si>
    <t>Cat 5 Drops</t>
  </si>
  <si>
    <t>WAP Drops</t>
  </si>
  <si>
    <t>Patch Panel Cables</t>
  </si>
  <si>
    <t>Equipment (End Devices)</t>
  </si>
  <si>
    <t>Network Cables</t>
  </si>
  <si>
    <t>Fiber Cables</t>
  </si>
  <si>
    <t>Totals</t>
  </si>
  <si>
    <t>2 jacks per outlet</t>
  </si>
  <si>
    <t>Add Cat 5 and WAP Drops</t>
  </si>
  <si>
    <t>Connect equipment to wall jacks</t>
  </si>
  <si>
    <t>Connect switches and routers</t>
  </si>
  <si>
    <t>Floor 1</t>
  </si>
  <si>
    <t>Lobby/Reception Desk</t>
  </si>
  <si>
    <t>1 computer, 1 VoIP phone, and 1 network printer</t>
  </si>
  <si>
    <t>Large Meeting Room</t>
  </si>
  <si>
    <t>1 VoIP phone and 1 projector</t>
  </si>
  <si>
    <t>6 Offices</t>
  </si>
  <si>
    <t>6 computers and 6 VoIP phones</t>
  </si>
  <si>
    <t>NOC</t>
  </si>
  <si>
    <t>4 servers, 3 computers, and 3 VoIP phones</t>
  </si>
  <si>
    <t>WIC</t>
  </si>
  <si>
    <t>1 - 48 Port Patch Panel</t>
  </si>
  <si>
    <t>1 - 48 Port Switch</t>
  </si>
  <si>
    <t>Router</t>
  </si>
  <si>
    <t>WAP</t>
  </si>
  <si>
    <t>Floor 1 Cable Totals</t>
  </si>
  <si>
    <t>Cost Per Cable Type</t>
  </si>
  <si>
    <t>Total Cable Cost</t>
  </si>
  <si>
    <t>Floor 2</t>
  </si>
  <si>
    <t>20 office cubicle</t>
  </si>
  <si>
    <t>20 computers</t>
  </si>
  <si>
    <t>Large open work area</t>
  </si>
  <si>
    <t>9 computers</t>
  </si>
  <si>
    <t>2 huddle rooms</t>
  </si>
  <si>
    <t>8 computers</t>
  </si>
  <si>
    <t>wiring closet</t>
  </si>
  <si>
    <t>Floor 2 Cable Totals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</si>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</sst>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7">
    <font>
      <sz val="11"/>
      <color theme="1"/>
      <name val="Aptos Narrow"/>
      <family val="2"/>
      <scheme val="minor"/>
    </font>
    <font>
      <sz val="11"/>
      <color rgb="FF006100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6100"/>
      <name val="Calibri"/>
      <scheme val="minor"/>
    </font>
    <font>
      <b/>
      <u/>
      <sz val="12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8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0" fontId="2" fillId="3" borderId="1" xfId="2"/>
    <xf numFmtId="0" fontId="2" fillId="3" borderId="1" xfId="2" applyAlignment="1">
      <alignment horizontal="center" wrapText="1"/>
    </xf>
    <xf numFmtId="164" fontId="2" fillId="3" borderId="1" xfId="2" applyNumberFormat="1" applyAlignment="1">
      <alignment horizontal="center" wrapText="1"/>
    </xf>
    <xf numFmtId="0" fontId="2" fillId="3" borderId="1" xfId="2" applyAlignment="1">
      <alignment wrapText="1"/>
    </xf>
    <xf numFmtId="0" fontId="1" fillId="2" borderId="0" xfId="1"/>
    <xf numFmtId="8" fontId="1" fillId="2" borderId="0" xfId="1" applyNumberFormat="1"/>
    <xf numFmtId="0" fontId="1" fillId="2" borderId="0" xfId="1" applyAlignment="1">
      <alignment horizontal="center" wrapText="1"/>
    </xf>
    <xf numFmtId="164" fontId="5" fillId="2" borderId="0" xfId="1" applyNumberFormat="1" applyFont="1" applyAlignment="1">
      <alignment horizontal="center" wrapText="1"/>
    </xf>
    <xf numFmtId="0" fontId="6" fillId="2" borderId="0" xfId="1" applyFont="1"/>
  </cellXfs>
  <cellStyles count="3">
    <cellStyle name="Check Cell" xfId="2" builtinId="23"/>
    <cellStyle name="Good" xfId="1" builtinId="26"/>
    <cellStyle name="Normal" xfId="0" builtinId="0"/>
  </cellStyles>
  <dxfs count="2">
    <dxf>
      <font>
        <b val="0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F58F5-FD5C-4808-8AEF-6C60FF91D889}" name="Table1" displayName="Table1" ref="A1:J31" totalsRowShown="0" headerRowDxfId="1">
  <autoFilter ref="A1:J31" xr:uid="{94BF58F5-FD5C-4808-8AEF-6C60FF91D889}"/>
  <tableColumns count="10">
    <tableColumn id="1" xr3:uid="{2685592D-0FBB-40E2-9E86-D4E879168CEA}" name="Column1" dataDxfId="0"/>
    <tableColumn id="2" xr3:uid="{4AB100A8-B62D-406E-82E3-2B6F32D6077B}" name="Area"/>
    <tableColumn id="3" xr3:uid="{BB704F49-EB08-408E-A51F-611CFA9B1664}" name="Outlets"/>
    <tableColumn id="4" xr3:uid="{A9B9915C-8124-4461-B7C4-60CB1F8569E4}" name="Cat 5 Drops"/>
    <tableColumn id="5" xr3:uid="{E433CDB9-417A-463B-A263-80873C8D367B}" name="WAP Drops"/>
    <tableColumn id="6" xr3:uid="{3FE53EC8-859B-40AB-8F6C-841AFA121164}" name="Patch Panel Cables"/>
    <tableColumn id="7" xr3:uid="{8FC2F8E0-EBA2-41CF-BB16-064A83D24C8B}" name="Equipment (End Devices)"/>
    <tableColumn id="8" xr3:uid="{DCCDAE2A-EF1F-4087-9498-7C31C2A5B4D6}" name="Network Cables"/>
    <tableColumn id="9" xr3:uid="{FE98AEA5-0D30-44C1-B463-1AE8A9D34909}" name="Fiber Cables"/>
    <tableColumn id="10" xr3:uid="{1BE58D38-E12B-4CBD-9D78-8CDD50AF4C0D}" name="Tot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8" workbookViewId="0">
      <selection activeCell="K31" sqref="K31"/>
    </sheetView>
  </sheetViews>
  <sheetFormatPr defaultRowHeight="15"/>
  <cols>
    <col min="1" max="1" width="18.5703125" customWidth="1"/>
    <col min="2" max="2" width="19.28515625" customWidth="1"/>
    <col min="3" max="3" width="13.5703125" customWidth="1"/>
    <col min="4" max="4" width="17" customWidth="1"/>
    <col min="5" max="5" width="16.7109375" customWidth="1"/>
    <col min="6" max="6" width="25" customWidth="1"/>
    <col min="7" max="7" width="29.42578125" customWidth="1"/>
    <col min="8" max="8" width="21.140625" customWidth="1"/>
    <col min="9" max="9" width="21.42578125" customWidth="1"/>
    <col min="10" max="10" width="21.5703125" customWidth="1"/>
  </cols>
  <sheetData>
    <row r="1" spans="1:10" ht="29.2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3.5">
      <c r="B2" s="4"/>
      <c r="C2" s="4" t="s">
        <v>10</v>
      </c>
      <c r="D2" s="4" t="s">
        <v>10</v>
      </c>
      <c r="E2" s="4"/>
      <c r="F2" s="4" t="s">
        <v>11</v>
      </c>
      <c r="G2" s="4"/>
      <c r="H2" s="4" t="s">
        <v>12</v>
      </c>
      <c r="I2" s="4" t="s">
        <v>13</v>
      </c>
      <c r="J2" s="4"/>
    </row>
    <row r="3" spans="1:10">
      <c r="A3" s="9"/>
      <c r="B3" s="12"/>
      <c r="C3" s="12"/>
      <c r="D3" s="12"/>
      <c r="E3" s="12"/>
      <c r="F3" s="12"/>
      <c r="G3" s="12"/>
      <c r="H3" s="12"/>
      <c r="I3" s="12"/>
      <c r="J3" s="12"/>
    </row>
    <row r="4" spans="1:10">
      <c r="B4" s="2" t="s">
        <v>14</v>
      </c>
      <c r="C4" s="5"/>
      <c r="D4" s="5"/>
      <c r="E4" s="5"/>
      <c r="F4" s="5"/>
      <c r="G4" s="5"/>
      <c r="H4" s="5"/>
      <c r="I4" s="5"/>
      <c r="J4" s="5"/>
    </row>
    <row r="5" spans="1:10" ht="57.75">
      <c r="A5" s="1"/>
      <c r="B5" t="s">
        <v>15</v>
      </c>
      <c r="C5" s="5">
        <v>2</v>
      </c>
      <c r="D5" s="5">
        <v>4</v>
      </c>
      <c r="E5" s="5"/>
      <c r="F5" s="5">
        <v>4</v>
      </c>
      <c r="G5" s="5" t="s">
        <v>16</v>
      </c>
      <c r="H5" s="5">
        <v>3</v>
      </c>
      <c r="I5" s="5"/>
      <c r="J5" s="5"/>
    </row>
    <row r="6" spans="1:10" ht="43.5">
      <c r="A6" s="1"/>
      <c r="B6" t="s">
        <v>17</v>
      </c>
      <c r="C6" s="5">
        <v>6</v>
      </c>
      <c r="D6" s="5">
        <v>12</v>
      </c>
      <c r="E6" s="5"/>
      <c r="F6" s="5">
        <v>12</v>
      </c>
      <c r="G6" s="5" t="s">
        <v>18</v>
      </c>
      <c r="H6" s="5">
        <v>2</v>
      </c>
      <c r="I6" s="5"/>
      <c r="J6" s="5"/>
    </row>
    <row r="7" spans="1:10" ht="43.5">
      <c r="A7" s="1"/>
      <c r="B7" t="s">
        <v>19</v>
      </c>
      <c r="C7" s="5">
        <v>6</v>
      </c>
      <c r="D7" s="5">
        <v>12</v>
      </c>
      <c r="E7" s="5"/>
      <c r="F7" s="5">
        <v>12</v>
      </c>
      <c r="G7" s="5" t="s">
        <v>20</v>
      </c>
      <c r="H7" s="5">
        <v>12</v>
      </c>
      <c r="I7" s="5"/>
      <c r="J7" s="5"/>
    </row>
    <row r="8" spans="1:10" ht="57.75">
      <c r="A8" s="1"/>
      <c r="B8" t="s">
        <v>21</v>
      </c>
      <c r="C8" s="5">
        <v>7</v>
      </c>
      <c r="D8" s="5">
        <v>14</v>
      </c>
      <c r="E8" s="5"/>
      <c r="F8" s="5">
        <v>14</v>
      </c>
      <c r="G8" s="5" t="s">
        <v>22</v>
      </c>
      <c r="H8" s="5">
        <v>10</v>
      </c>
      <c r="I8" s="5"/>
      <c r="J8" s="5"/>
    </row>
    <row r="9" spans="1:10">
      <c r="A9" s="1"/>
      <c r="B9" t="s">
        <v>23</v>
      </c>
      <c r="C9" s="5">
        <v>2</v>
      </c>
      <c r="D9" s="5">
        <v>4</v>
      </c>
      <c r="E9" s="5"/>
      <c r="F9" s="5">
        <v>4</v>
      </c>
      <c r="G9" s="5"/>
      <c r="H9" s="5"/>
      <c r="I9" s="5"/>
      <c r="J9" s="5"/>
    </row>
    <row r="10" spans="1:10">
      <c r="A10" s="1"/>
      <c r="B10" t="s">
        <v>24</v>
      </c>
      <c r="C10" s="5"/>
      <c r="D10" s="5"/>
      <c r="E10" s="5"/>
      <c r="F10" s="5"/>
      <c r="G10" s="5"/>
      <c r="H10" s="5"/>
      <c r="I10" s="5"/>
      <c r="J10" s="5"/>
    </row>
    <row r="11" spans="1:10">
      <c r="A11" s="1"/>
      <c r="B11" t="s">
        <v>25</v>
      </c>
      <c r="C11" s="5"/>
      <c r="D11" s="5"/>
      <c r="E11" s="5"/>
      <c r="F11" s="5"/>
      <c r="G11" s="5"/>
      <c r="H11" s="5"/>
      <c r="I11" s="5">
        <v>1</v>
      </c>
      <c r="J11" s="5"/>
    </row>
    <row r="12" spans="1:10">
      <c r="A12" s="1"/>
      <c r="B12" t="s">
        <v>26</v>
      </c>
      <c r="C12" s="5"/>
      <c r="D12" s="5"/>
      <c r="E12" s="5"/>
      <c r="F12" s="5"/>
      <c r="G12" s="5"/>
      <c r="H12" s="5"/>
      <c r="I12" s="5"/>
      <c r="J12" s="5"/>
    </row>
    <row r="13" spans="1:10">
      <c r="A13" s="1"/>
      <c r="B13" t="s">
        <v>27</v>
      </c>
      <c r="C13" s="5"/>
      <c r="D13" s="5"/>
      <c r="E13" s="5">
        <v>1</v>
      </c>
      <c r="F13" s="5">
        <v>1</v>
      </c>
      <c r="G13" s="5"/>
      <c r="H13" s="5"/>
      <c r="I13" s="5"/>
      <c r="J13" s="5"/>
    </row>
    <row r="14" spans="1:10">
      <c r="A14" s="1" t="s">
        <v>28</v>
      </c>
      <c r="C14" s="5"/>
      <c r="D14" s="5">
        <f>SUBTOTAL(109,D5:D13)</f>
        <v>46</v>
      </c>
      <c r="E14" s="5">
        <f>SUM(E5,E6,E7,E8,E9,E10,E11,E12,E13)</f>
        <v>1</v>
      </c>
      <c r="F14" s="5">
        <f>SUM(D14,E14)</f>
        <v>47</v>
      </c>
      <c r="G14" s="5"/>
      <c r="H14" s="5">
        <f>SUM(H5,H6,H7,H8,H9,H10,H11,H12,H13)</f>
        <v>27</v>
      </c>
      <c r="I14" s="5">
        <f>SUM(I5,I6,I7,I8,I9,I10,I11,I12,I13)</f>
        <v>1</v>
      </c>
      <c r="J14" s="5"/>
    </row>
    <row r="15" spans="1:10">
      <c r="A15" s="1" t="s">
        <v>29</v>
      </c>
      <c r="C15" s="5"/>
      <c r="D15" s="6">
        <v>175</v>
      </c>
      <c r="E15" s="6">
        <v>150</v>
      </c>
      <c r="F15" s="6">
        <v>1.5</v>
      </c>
      <c r="G15" s="5"/>
      <c r="H15" s="6">
        <v>2.5</v>
      </c>
      <c r="I15" s="6">
        <v>10</v>
      </c>
      <c r="J15" s="6"/>
    </row>
    <row r="16" spans="1:10">
      <c r="A16" s="1" t="s">
        <v>30</v>
      </c>
      <c r="C16" s="5"/>
      <c r="D16" s="6">
        <f>PRODUCT(D14,D15)</f>
        <v>8050</v>
      </c>
      <c r="E16" s="6">
        <f>PRODUCT(E14,E15)</f>
        <v>150</v>
      </c>
      <c r="F16" s="6">
        <f>PRODUCT(F14,F15)</f>
        <v>70.5</v>
      </c>
      <c r="G16" s="5"/>
      <c r="H16" s="6">
        <f>PRODUCT(H14,H15)</f>
        <v>67.5</v>
      </c>
      <c r="I16" s="6">
        <f>PRODUCT(I14,I15)</f>
        <v>10</v>
      </c>
      <c r="J16" s="6">
        <f>SUM(D16,E16,F16,H16,I16)</f>
        <v>8348</v>
      </c>
    </row>
    <row r="17" spans="1:10">
      <c r="A17" s="9"/>
      <c r="B17" s="9"/>
      <c r="C17" s="10"/>
      <c r="D17" s="11"/>
      <c r="E17" s="11"/>
      <c r="F17" s="11"/>
      <c r="G17" s="10"/>
      <c r="H17" s="11"/>
      <c r="I17" s="11"/>
      <c r="J17" s="11"/>
    </row>
    <row r="18" spans="1:10">
      <c r="A18" s="1"/>
      <c r="B18" s="2" t="s">
        <v>31</v>
      </c>
      <c r="C18" s="5"/>
      <c r="D18" s="5"/>
      <c r="E18" s="5"/>
      <c r="F18" s="5"/>
      <c r="G18" s="5"/>
      <c r="H18" s="5"/>
      <c r="I18" s="5"/>
      <c r="J18" s="5"/>
    </row>
    <row r="19" spans="1:10">
      <c r="A19" s="1"/>
      <c r="B19" t="s">
        <v>32</v>
      </c>
      <c r="C19" s="5">
        <v>20</v>
      </c>
      <c r="D19" s="5">
        <v>40</v>
      </c>
      <c r="E19" s="5"/>
      <c r="F19" s="5">
        <v>40</v>
      </c>
      <c r="G19" s="5" t="s">
        <v>33</v>
      </c>
      <c r="H19" s="5">
        <v>20</v>
      </c>
      <c r="I19" s="5"/>
      <c r="J19" s="5"/>
    </row>
    <row r="20" spans="1:10">
      <c r="A20" s="1"/>
      <c r="B20" t="s">
        <v>34</v>
      </c>
      <c r="C20" s="5">
        <v>9</v>
      </c>
      <c r="D20" s="5">
        <v>18</v>
      </c>
      <c r="E20" s="5"/>
      <c r="F20" s="5">
        <v>19</v>
      </c>
      <c r="G20" s="5" t="s">
        <v>35</v>
      </c>
      <c r="H20" s="5">
        <v>9</v>
      </c>
      <c r="I20" s="5"/>
      <c r="J20" s="5"/>
    </row>
    <row r="21" spans="1:10">
      <c r="A21" s="1"/>
      <c r="B21" t="s">
        <v>36</v>
      </c>
      <c r="C21" s="5">
        <v>8</v>
      </c>
      <c r="D21" s="5">
        <v>16</v>
      </c>
      <c r="E21" s="5"/>
      <c r="F21" s="5">
        <v>16</v>
      </c>
      <c r="G21" s="5" t="s">
        <v>37</v>
      </c>
      <c r="H21" s="5">
        <v>8</v>
      </c>
      <c r="I21" s="5"/>
      <c r="J21" s="5"/>
    </row>
    <row r="22" spans="1:10">
      <c r="A22" s="1"/>
      <c r="B22" t="s">
        <v>38</v>
      </c>
      <c r="C22" s="5"/>
      <c r="D22" s="5"/>
      <c r="E22" s="5">
        <v>1</v>
      </c>
      <c r="F22" s="5">
        <v>1</v>
      </c>
      <c r="G22" s="5"/>
      <c r="H22" s="5"/>
      <c r="I22" s="5">
        <v>2</v>
      </c>
      <c r="J22" s="5"/>
    </row>
    <row r="23" spans="1:10">
      <c r="A23" s="1"/>
      <c r="C23" s="5"/>
      <c r="D23" s="5"/>
      <c r="E23" s="5"/>
      <c r="F23" s="5"/>
      <c r="G23" s="5"/>
      <c r="H23" s="5"/>
      <c r="I23" s="5"/>
      <c r="J23" s="5"/>
    </row>
    <row r="24" spans="1:10">
      <c r="A24" s="1"/>
      <c r="C24" s="5"/>
      <c r="D24" s="5"/>
      <c r="E24" s="5"/>
      <c r="F24" s="5"/>
      <c r="G24" s="5"/>
      <c r="H24" s="5"/>
      <c r="I24" s="5"/>
      <c r="J24" s="5"/>
    </row>
    <row r="25" spans="1:10">
      <c r="A25" s="1"/>
      <c r="C25" s="5"/>
      <c r="D25" s="5"/>
      <c r="E25" s="5"/>
      <c r="F25" s="5"/>
      <c r="G25" s="5"/>
      <c r="H25" s="5"/>
      <c r="I25" s="5"/>
      <c r="J25" s="5"/>
    </row>
    <row r="26" spans="1:10">
      <c r="A26" s="1"/>
      <c r="C26" s="5"/>
      <c r="D26" s="5"/>
      <c r="E26" s="5"/>
      <c r="F26" s="5"/>
      <c r="G26" s="5"/>
      <c r="H26" s="5"/>
      <c r="I26" s="5"/>
      <c r="J26" s="5"/>
    </row>
    <row r="27" spans="1:10">
      <c r="A27" s="1" t="s">
        <v>39</v>
      </c>
      <c r="C27" s="5"/>
      <c r="D27" s="5">
        <f>SUM(D19,D20,D21,D22,D23,D24,D25,D26)</f>
        <v>74</v>
      </c>
      <c r="E27" s="5">
        <f>SUM(E19,E20,E21,E22,E23,E24,E25,E26)</f>
        <v>1</v>
      </c>
      <c r="F27" s="5">
        <f>SUM(D27,E27)</f>
        <v>75</v>
      </c>
      <c r="G27" s="5"/>
      <c r="H27" s="5">
        <f>SUM(H19,H20,H21,H22,H23,H24,H25,H26)</f>
        <v>37</v>
      </c>
      <c r="I27" s="5">
        <f>SUM(I19,I20,I21,I22,I23,I24,I25,I26)</f>
        <v>2</v>
      </c>
      <c r="J27" s="5"/>
    </row>
    <row r="28" spans="1:10">
      <c r="A28" s="1" t="s">
        <v>29</v>
      </c>
      <c r="C28" s="5"/>
      <c r="D28" s="7">
        <v>175</v>
      </c>
      <c r="E28" s="7">
        <v>150</v>
      </c>
      <c r="F28" s="7">
        <v>1.5</v>
      </c>
      <c r="G28" s="5"/>
      <c r="H28" s="7">
        <v>2.5</v>
      </c>
      <c r="I28" s="7">
        <v>10</v>
      </c>
      <c r="J28" s="7"/>
    </row>
    <row r="29" spans="1:10">
      <c r="A29" s="1" t="s">
        <v>30</v>
      </c>
      <c r="C29" s="5"/>
      <c r="D29" s="8">
        <f>PRODUCT(D27,D28)</f>
        <v>12950</v>
      </c>
      <c r="E29" s="7">
        <f>PRODUCT(E27,E28)</f>
        <v>150</v>
      </c>
      <c r="F29" s="7">
        <f>PRODUCT(F27,F28)</f>
        <v>112.5</v>
      </c>
      <c r="G29" s="5"/>
      <c r="H29" s="7">
        <f>PRODUCT(H27,H28)</f>
        <v>92.5</v>
      </c>
      <c r="I29" s="7">
        <f>PRODUCT(I27,I28)</f>
        <v>20</v>
      </c>
      <c r="J29" s="7">
        <f>SUM(D29,E29,F29,H29,I29)</f>
        <v>13325</v>
      </c>
    </row>
    <row r="30" spans="1:10">
      <c r="A30" s="1"/>
      <c r="C30" s="5"/>
      <c r="D30" s="5"/>
      <c r="E30" s="5"/>
      <c r="F30" s="5"/>
      <c r="G30" s="5"/>
      <c r="H30" s="5"/>
      <c r="I30" s="5"/>
      <c r="J30" s="5"/>
    </row>
    <row r="31" spans="1:10" ht="15.75">
      <c r="A31" s="17" t="s">
        <v>40</v>
      </c>
      <c r="B31" s="14"/>
      <c r="C31" s="15"/>
      <c r="D31" s="15"/>
      <c r="E31" s="13"/>
      <c r="F31" s="13"/>
      <c r="G31" s="13"/>
      <c r="H31" s="13"/>
      <c r="I31" s="13"/>
      <c r="J31" s="16">
        <f>SUM(J16,J29)</f>
        <v>21673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2025-09-24T21:23:16Z</dcterms:created>
  <dcterms:modified xsi:type="dcterms:W3CDTF">2025-10-01T20:42:17Z</dcterms:modified>
  <cp:category/>
  <cp:contentStatus/>
</cp:coreProperties>
</file>